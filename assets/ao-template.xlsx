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2f02dd38a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30b83db605f4936"/>
    <x:sheet xmlns:r="http://schemas.openxmlformats.org/officeDocument/2006/relationships" name="Raw data" sheetId="2" r:id="Raab25fd670fe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1"/>
      <x:name val="Malgun Gothic"/>
    </x:font>
    <x:font>
      <x:b/>
      <x:sz val="11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5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397094d8041fe" /><Relationship Type="http://schemas.openxmlformats.org/officeDocument/2006/relationships/theme" Target="/xl/theme/theme1.xml" Id="R1273ff9971ea4a77" /><Relationship Type="http://schemas.openxmlformats.org/officeDocument/2006/relationships/sharedStrings" Target="/xl/sharedStrings.xml" Id="R83a21686a9b54435" /><Relationship Type="http://schemas.openxmlformats.org/officeDocument/2006/relationships/worksheet" Target="/xl/worksheets/sheet1.xml" Id="R130b83db605f4936" /><Relationship Type="http://schemas.openxmlformats.org/officeDocument/2006/relationships/worksheet" Target="/xl/worksheets/sheet2.xml" Id="Raab25fd670fe41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40" hidden="0" customWidth="1"/>
  </x:cols>
  <x:sheetData>
    <x:row r="1" ht="24" customHeight="1">
      <x:c r="A1" s="1" t="str">
        <x:v>조회일</x:v>
      </x:c>
      <x:c r="B1" s="1" t="str">
        <x:f>'Raw data'!B1</x:f>
        <x:v>2026-09-13</x:v>
      </x:c>
      <x:c r="C1" s="1"/>
      <x:c r="D1" s="1"/>
      <x:c r="E1" s="1"/>
      <x:c r="F1" s="1"/>
      <x:c r="G1" s="1"/>
      <x:c r="H1" s="1"/>
      <x:c r="I1" s="1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3" t="str">
        <x:v>구매부서</x:v>
      </x:c>
      <x:c r="B3" s="3" t="str">
        <x:v>협력사</x:v>
      </x:c>
      <x:c r="C3" s="3" t="str">
        <x:v>1주미만</x:v>
      </x:c>
      <x:c r="D3" s="3" t="str">
        <x:v>1~2주</x:v>
      </x:c>
      <x:c r="E3" s="3" t="str">
        <x:v>2~4주</x:v>
      </x:c>
      <x:c r="F3" s="3" t="str">
        <x:v>4주이상</x:v>
      </x:c>
      <x:c r="G3" s="3" t="str">
        <x:v>총계</x:v>
      </x:c>
      <x:c r="H3" s="3" t="str">
        <x:v>생산계획 미확정</x:v>
      </x:c>
      <x:c r="I3" s="3" t="str">
        <x:v>계(총계+생산계획 미확정)</x:v>
      </x:c>
    </x:row>
    <x:row r="4" ht="24" customHeight="1">
      <x:c r="A4" s="1" t="str">
        <x:f>'Raw data'!A4</x:f>
        <x:v>전력구매팀</x:v>
      </x:c>
      <x:c r="B4" s="1" t="str">
        <x:f>'Raw data'!B4</x:f>
        <x:v>가상협력사-A</x:v>
      </x:c>
      <x:c r="C4" s="4" t="n">
        <x:f>'Raw data'!C4</x:f>
        <x:v>1</x:v>
      </x:c>
      <x:c r="D4" s="4" t="n">
        <x:f>'Raw data'!D4</x:f>
        <x:v>2</x:v>
      </x:c>
      <x:c r="E4" s="4" t="n">
        <x:f>'Raw data'!E4</x:f>
        <x:v>3</x:v>
      </x:c>
      <x:c r="F4" s="4" t="n">
        <x:f>'Raw data'!F4</x:f>
        <x:v>7</x:v>
      </x:c>
      <x:c r="G4" s="4" t="n">
        <x:f>'Raw data'!G4</x:f>
        <x:v>13</x:v>
      </x:c>
      <x:c r="H4" s="4" t="n">
        <x:f>'Raw data'!H4</x:f>
        <x:v>2</x:v>
      </x:c>
      <x:c r="I4" s="4" t="n">
        <x:f>'Raw data'!I4</x:f>
        <x:v>15</x:v>
      </x:c>
    </x:row>
    <x:row r="5" ht="24" customHeight="1">
      <x:c r="A5" s="1" t="str">
        <x:f>'Raw data'!A5</x:f>
        <x:v>기계구매팀</x:v>
      </x:c>
      <x:c r="B5" s="1" t="str">
        <x:f>'Raw data'!B5</x:f>
        <x:v>가상협력사-B</x:v>
      </x:c>
      <x:c r="C5" s="4" t="n">
        <x:f>'Raw data'!C5</x:f>
        <x:v>3</x:v>
      </x:c>
      <x:c r="D5" s="4" t="n">
        <x:f>'Raw data'!D5</x:f>
        <x:v>4</x:v>
      </x:c>
      <x:c r="E5" s="4" t="n">
        <x:f>'Raw data'!E5</x:f>
        <x:v>5</x:v>
      </x:c>
      <x:c r="F5" s="4" t="n">
        <x:f>'Raw data'!F5</x:f>
        <x:v>99</x:v>
      </x:c>
      <x:c r="G5" s="4" t="n">
        <x:f>'Raw data'!G5</x:f>
        <x:v>111</x:v>
      </x:c>
      <x:c r="H5" s="4" t="n">
        <x:f>'Raw data'!H5</x:f>
        <x:v>0</x:v>
      </x:c>
      <x:c r="I5" s="4" t="n">
        <x:f>'Raw data'!I5</x:f>
        <x:v>111</x:v>
      </x:c>
    </x:row>
    <x:row r="6" ht="24" customHeight="1">
      <x:c r="A6" s="1" t="str">
        <x:f>'Raw data'!A6</x:f>
        <x:v>전력구매팀</x:v>
      </x:c>
      <x:c r="B6" s="1" t="str">
        <x:f>'Raw data'!B6</x:f>
        <x:v>가상협력사-C</x:v>
      </x:c>
      <x:c r="C6" s="4" t="n">
        <x:f>'Raw data'!C6</x:f>
        <x:v>2</x:v>
      </x:c>
      <x:c r="D6" s="4" t="n">
        <x:f>'Raw data'!D6</x:f>
        <x:v>3</x:v>
      </x:c>
      <x:c r="E6" s="4" t="n">
        <x:f>'Raw data'!E6</x:f>
        <x:v>1</x:v>
      </x:c>
      <x:c r="F6" s="4" t="n">
        <x:f>'Raw data'!F6</x:f>
        <x:v>12</x:v>
      </x:c>
      <x:c r="G6" s="4" t="n">
        <x:f>'Raw data'!G6</x:f>
        <x:v>18</x:v>
      </x:c>
      <x:c r="H6" s="4" t="n">
        <x:f>'Raw data'!H6</x:f>
        <x:v>1</x:v>
      </x:c>
      <x:c r="I6" s="4" t="n">
        <x:f>'Raw data'!I6</x:f>
        <x:v>19</x:v>
      </x:c>
    </x:row>
    <x:row r="7" ht="24" customHeight="1">
      <x:c r="A7" s="1" t="str">
        <x:f>'Raw data'!A7</x:f>
        <x:v>자재구매팀</x:v>
      </x:c>
      <x:c r="B7" s="1" t="str">
        <x:f>'Raw data'!B7</x:f>
        <x:v>가상협력사-D</x:v>
      </x:c>
      <x:c r="C7" s="4" t="n">
        <x:f>'Raw data'!C7</x:f>
        <x:v>0</x:v>
      </x:c>
      <x:c r="D7" s="4" t="n">
        <x:f>'Raw data'!D7</x:f>
        <x:v>1</x:v>
      </x:c>
      <x:c r="E7" s="4" t="n">
        <x:f>'Raw data'!E7</x:f>
        <x:v>1</x:v>
      </x:c>
      <x:c r="F7" s="4" t="n">
        <x:f>'Raw data'!F7</x:f>
        <x:v>55</x:v>
      </x:c>
      <x:c r="G7" s="4" t="n">
        <x:f>'Raw data'!G7</x:f>
        <x:v>57</x:v>
      </x:c>
      <x:c r="H7" s="4" t="n">
        <x:f>'Raw data'!H7</x:f>
        <x:v>3</x:v>
      </x:c>
      <x:c r="I7" s="4" t="n">
        <x:f>'Raw data'!I7</x:f>
        <x:v>60</x:v>
      </x:c>
    </x:row>
    <x:row r="8" ht="24" customHeight="1">
      <x:c r="A8" s="1" t="str">
        <x:f>'Raw data'!A8</x:f>
        <x:v>전력구매팀</x:v>
      </x:c>
      <x:c r="B8" s="1" t="str">
        <x:f>'Raw data'!B8</x:f>
        <x:v>가상협력사-E</x:v>
      </x:c>
      <x:c r="C8" s="4" t="n">
        <x:f>'Raw data'!C8</x:f>
        <x:v>0</x:v>
      </x:c>
      <x:c r="D8" s="4" t="n">
        <x:f>'Raw data'!D8</x:f>
        <x:v>1</x:v>
      </x:c>
      <x:c r="E8" s="4" t="n">
        <x:f>'Raw data'!E8</x:f>
        <x:v>0</x:v>
      </x:c>
      <x:c r="F8" s="4" t="n">
        <x:f>'Raw data'!F8</x:f>
        <x:v>0</x:v>
      </x:c>
      <x:c r="G8" s="4" t="n">
        <x:f>'Raw data'!G8</x:f>
        <x:v>1</x:v>
      </x:c>
      <x:c r="H8" s="4" t="n">
        <x:f>'Raw data'!H8</x:f>
        <x:v>0</x:v>
      </x:c>
      <x:c r="I8" s="4" t="n">
        <x:f>'Raw data'!I8</x:f>
        <x:v>1</x:v>
      </x:c>
    </x:row>
    <x:row r="9" ht="24" customHeight="1">
      <x:c r="A9" s="1" t="str">
        <x:f>'Raw data'!A9</x:f>
        <x:v>전력구매팀 지원</x:v>
      </x:c>
      <x:c r="B9" s="1" t="str">
        <x:f>'Raw data'!B9</x:f>
        <x:v>가상협력사-F</x:v>
      </x:c>
      <x:c r="C9" s="4" t="n">
        <x:f>'Raw data'!C9</x:f>
        <x:v>1</x:v>
      </x:c>
      <x:c r="D9" s="4" t="n">
        <x:f>'Raw data'!D9</x:f>
        <x:v>1</x:v>
      </x:c>
      <x:c r="E9" s="4" t="n">
        <x:f>'Raw data'!E9</x:f>
        <x:v>1</x:v>
      </x:c>
      <x:c r="F9" s="4" t="n">
        <x:f>'Raw data'!F9</x:f>
        <x:v>88</x:v>
      </x:c>
      <x:c r="G9" s="4" t="n">
        <x:f>'Raw data'!G9</x:f>
        <x:v>91</x:v>
      </x:c>
      <x:c r="H9" s="4" t="n">
        <x:f>'Raw data'!H9</x:f>
        <x:v>0</x:v>
      </x:c>
      <x:c r="I9" s="4" t="n">
        <x:f>'Raw data'!I9</x:f>
        <x:v>91</x:v>
      </x:c>
    </x:row>
    <x:row r="10" ht="24" customHeight="1">
      <x:c r="A10" s="1" t="str">
        <x:v>결과</x:v>
      </x:c>
      <x:c r="B10" s="1"/>
      <x:c r="C10" s="4" t="n">
        <x:f>SUM(C4:C9)</x:f>
        <x:v>7</x:v>
      </x:c>
      <x:c r="D10" s="4" t="n">
        <x:f>SUM(D4:D9)</x:f>
        <x:v>12</x:v>
      </x:c>
      <x:c r="E10" s="4" t="n">
        <x:f>SUM(E4:E9)</x:f>
        <x:v>11</x:v>
      </x:c>
      <x:c r="F10" s="4" t="n">
        <x:f>SUM(F4:F9)</x:f>
        <x:v>261</x:v>
      </x:c>
      <x:c r="G10" s="4" t="n">
        <x:f>SUM(G4:G9)</x:f>
        <x:v>291</x:v>
      </x:c>
      <x:c r="H10" s="4" t="n">
        <x:f>SUM(H4:H9)</x:f>
        <x:v>6</x:v>
      </x:c>
      <x:c r="I10" s="4" t="n">
        <x:f>SUM(I4:I9)</x:f>
        <x:v>297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40" hidden="0" customWidth="1"/>
  </x:cols>
  <x:sheetData>
    <x:row r="1" ht="24" customHeight="1">
      <x:c r="A1" s="1" t="str">
        <x:v>조회일</x:v>
      </x:c>
      <x:c r="B1" s="1" t="str">
        <x:v>2026-09-13</x:v>
      </x:c>
      <x:c r="C1" s="1"/>
      <x:c r="D1" s="1"/>
      <x:c r="E1" s="1"/>
      <x:c r="F1" s="1"/>
      <x:c r="G1" s="1"/>
      <x:c r="H1" s="1"/>
      <x:c r="I1" s="1"/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3" t="str">
        <x:v>구매부서</x:v>
      </x:c>
      <x:c r="B3" s="3" t="str">
        <x:v>협력사</x:v>
      </x:c>
      <x:c r="C3" s="3" t="str">
        <x:v>1주미만</x:v>
      </x:c>
      <x:c r="D3" s="3" t="str">
        <x:v>1~2주</x:v>
      </x:c>
      <x:c r="E3" s="3" t="str">
        <x:v>2~4주</x:v>
      </x:c>
      <x:c r="F3" s="3" t="str">
        <x:v>4주이상</x:v>
      </x:c>
      <x:c r="G3" s="3" t="str">
        <x:v>총계</x:v>
      </x:c>
      <x:c r="H3" s="3" t="str">
        <x:v>생산계획 미확정</x:v>
      </x:c>
      <x:c r="I3" s="3" t="str">
        <x:v>계(총계+생산계획 미확정)</x:v>
      </x:c>
    </x:row>
    <x:row r="4" ht="24" customHeight="1">
      <x:c r="A4" s="1" t="str">
        <x:v>전력구매팀</x:v>
      </x:c>
      <x:c r="B4" s="1" t="str">
        <x:v>가상협력사-A</x:v>
      </x:c>
      <x:c r="C4" s="4" t="n">
        <x:v>1</x:v>
      </x:c>
      <x:c r="D4" s="4" t="n">
        <x:v>2</x:v>
      </x:c>
      <x:c r="E4" s="4" t="n">
        <x:v>3</x:v>
      </x:c>
      <x:c r="F4" s="4" t="n">
        <x:v>7</x:v>
      </x:c>
      <x:c r="G4" s="4" t="n">
        <x:v>13</x:v>
      </x:c>
      <x:c r="H4" s="4" t="n">
        <x:v>2</x:v>
      </x:c>
      <x:c r="I4" s="4" t="n">
        <x:v>15</x:v>
      </x:c>
    </x:row>
    <x:row r="5" ht="24" customHeight="1">
      <x:c r="A5" s="1" t="str">
        <x:v>기계구매팀</x:v>
      </x:c>
      <x:c r="B5" s="1" t="str">
        <x:v>가상협력사-B</x:v>
      </x:c>
      <x:c r="C5" s="4" t="n">
        <x:v>3</x:v>
      </x:c>
      <x:c r="D5" s="4" t="n">
        <x:v>4</x:v>
      </x:c>
      <x:c r="E5" s="4" t="n">
        <x:v>5</x:v>
      </x:c>
      <x:c r="F5" s="4" t="n">
        <x:v>99</x:v>
      </x:c>
      <x:c r="G5" s="4" t="n">
        <x:v>111</x:v>
      </x:c>
      <x:c r="H5" s="4" t="n">
        <x:v>0</x:v>
      </x:c>
      <x:c r="I5" s="4" t="n">
        <x:v>111</x:v>
      </x:c>
    </x:row>
    <x:row r="6" ht="24" customHeight="1">
      <x:c r="A6" s="1" t="str">
        <x:v>전력구매팀</x:v>
      </x:c>
      <x:c r="B6" s="1" t="str">
        <x:v>가상협력사-C</x:v>
      </x:c>
      <x:c r="C6" s="4" t="n">
        <x:v>2</x:v>
      </x:c>
      <x:c r="D6" s="4" t="n">
        <x:v>3</x:v>
      </x:c>
      <x:c r="E6" s="4" t="n">
        <x:v>1</x:v>
      </x:c>
      <x:c r="F6" s="4" t="n">
        <x:v>12</x:v>
      </x:c>
      <x:c r="G6" s="4" t="n">
        <x:v>18</x:v>
      </x:c>
      <x:c r="H6" s="4" t="n">
        <x:v>1</x:v>
      </x:c>
      <x:c r="I6" s="4" t="n">
        <x:v>19</x:v>
      </x:c>
    </x:row>
    <x:row r="7" ht="24" customHeight="1">
      <x:c r="A7" s="1" t="str">
        <x:v>자재구매팀</x:v>
      </x:c>
      <x:c r="B7" s="1" t="str">
        <x:v>가상협력사-D</x:v>
      </x:c>
      <x:c r="C7" s="4" t="n">
        <x:v>0</x:v>
      </x:c>
      <x:c r="D7" s="4" t="n">
        <x:v>1</x:v>
      </x:c>
      <x:c r="E7" s="4" t="n">
        <x:v>1</x:v>
      </x:c>
      <x:c r="F7" s="4" t="n">
        <x:v>55</x:v>
      </x:c>
      <x:c r="G7" s="4" t="n">
        <x:v>57</x:v>
      </x:c>
      <x:c r="H7" s="4" t="n">
        <x:v>3</x:v>
      </x:c>
      <x:c r="I7" s="4" t="n">
        <x:v>60</x:v>
      </x:c>
    </x:row>
    <x:row r="8" ht="24" customHeight="1">
      <x:c r="A8" s="1" t="str">
        <x:v>전력구매팀</x:v>
      </x:c>
      <x:c r="B8" s="1" t="str">
        <x:v>가상협력사-E</x:v>
      </x:c>
      <x:c r="C8" s="4" t="n">
        <x:v>0</x:v>
      </x:c>
      <x:c r="D8" s="4" t="n">
        <x:v>1</x:v>
      </x:c>
      <x:c r="E8" s="4" t="n">
        <x:v>0</x:v>
      </x:c>
      <x:c r="F8" s="4" t="n">
        <x:v>0</x:v>
      </x:c>
      <x:c r="G8" s="4" t="n">
        <x:v>1</x:v>
      </x:c>
      <x:c r="H8" s="4" t="n">
        <x:v>0</x:v>
      </x:c>
      <x:c r="I8" s="4" t="n">
        <x:v>1</x:v>
      </x:c>
    </x:row>
    <x:row r="9" ht="24" customHeight="1">
      <x:c r="A9" s="1" t="str">
        <x:v>전력구매팀 지원</x:v>
      </x:c>
      <x:c r="B9" s="1" t="str">
        <x:v>가상협력사-F</x:v>
      </x:c>
      <x:c r="C9" s="4" t="n">
        <x:v>1</x:v>
      </x:c>
      <x:c r="D9" s="4" t="n">
        <x:v>1</x:v>
      </x:c>
      <x:c r="E9" s="4" t="n">
        <x:v>1</x:v>
      </x:c>
      <x:c r="F9" s="4" t="n">
        <x:v>88</x:v>
      </x:c>
      <x:c r="G9" s="4" t="n">
        <x:v>91</x:v>
      </x:c>
      <x:c r="H9" s="4" t="n">
        <x:v>0</x:v>
      </x:c>
      <x:c r="I9" s="4" t="n">
        <x:v>91</x:v>
      </x:c>
    </x:row>
    <x:row r="10" ht="24" customHeight="1">
      <x:c r="A10" s="1"/>
      <x:c r="B10" s="1"/>
      <x:c r="C10" s="4"/>
      <x:c r="D10" s="4"/>
      <x:c r="E10" s="4"/>
      <x:c r="F10" s="4"/>
      <x:c r="G10" s="4"/>
      <x:c r="H10" s="4"/>
      <x:c r="I10" s="4"/>
    </x:row>
  </x:sheetData>
  <x:pageMargins left="0.7" right="0.7" top="0.75" bottom="0.75" header="0.3" footer="0.3"/>
</x:worksheet>
</file>